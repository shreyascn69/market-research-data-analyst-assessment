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E52F0E04-12F7-4664-A592-E249DD20907C}" xr6:coauthVersionLast="47" xr6:coauthVersionMax="47" xr10:uidLastSave="{00000000-0000-0000-0000-000000000000}"/>
  <bookViews>
    <workbookView xWindow="-108" yWindow="-108" windowWidth="23256" windowHeight="12456" tabRatio="790" activeTab="5" xr2:uid="{191B0328-E36D-4BBB-8FB3-7CB884FD94E1}"/>
  </bookViews>
  <sheets>
    <sheet name="Q1_Profit" sheetId="1" r:id="rId1"/>
    <sheet name="Q4_Competitors" sheetId="2" r:id="rId2"/>
    <sheet name="Q5_Product_Opportunity" sheetId="3" r:id="rId3"/>
    <sheet name="Q6_Profitability" sheetId="4" r:id="rId4"/>
    <sheet name="Q8_Sales_Analysis" sheetId="5" r:id="rId5"/>
    <sheet name="Q9_Convers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6" l="1"/>
  <c r="C4" i="6"/>
  <c r="C3" i="6"/>
  <c r="C2" i="6"/>
  <c r="I2" i="4"/>
  <c r="H2" i="4"/>
  <c r="G2" i="4"/>
  <c r="F2" i="4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<sst xmlns="http://schemas.openxmlformats.org/spreadsheetml/2006/main" count="232" uniqueCount="159">
  <si>
    <t>Product</t>
  </si>
  <si>
    <t>Cost</t>
  </si>
  <si>
    <t>Selling Price</t>
  </si>
  <si>
    <t>Profit</t>
  </si>
  <si>
    <t>Profit Margin</t>
  </si>
  <si>
    <t>Office Chair</t>
  </si>
  <si>
    <t>Storage Cabinet</t>
  </si>
  <si>
    <t>$129</t>
  </si>
  <si>
    <t>Garden Table</t>
  </si>
  <si>
    <t>$219</t>
  </si>
  <si>
    <t>Tool Box</t>
  </si>
  <si>
    <t>Bedside Table</t>
  </si>
  <si>
    <t>Highest Profit Margin Product</t>
  </si>
  <si>
    <t>Reason</t>
  </si>
  <si>
    <t>would prioritise the Bedside Table because it has the highest profit margin at 39.39%. This means we can make more profit from each sale compared to the other products.</t>
  </si>
  <si>
    <t>Kogan</t>
  </si>
  <si>
    <t>Ergolux Core Ergonomic Foam Office Chair (Grey)</t>
  </si>
  <si>
    <t>Member price; non-member $249</t>
  </si>
  <si>
    <t>Shipping depends on delivery location</t>
  </si>
  <si>
    <t>4.5/5, 15 ratings</t>
  </si>
  <si>
    <t>Ergonomic chair with headrest and lumbar support</t>
  </si>
  <si>
    <t>Ergolux Plus Ergonomic Mesh Office Chair with Footrest (Black)</t>
  </si>
  <si>
    <t>$139</t>
  </si>
  <si>
    <t>Member price; non-member $169; SRP $349</t>
  </si>
  <si>
    <t>4.3/5, 128 ratings</t>
  </si>
  <si>
    <t>Includes footrest and adjustable armrests</t>
  </si>
  <si>
    <t>Gorilla Gaming Prodigy Gaming Chair (Black/Blue)</t>
  </si>
  <si>
    <t>$89.99</t>
  </si>
  <si>
    <t>Member price; non-member $119; SRP $249</t>
  </si>
  <si>
    <t>4.7/5, 149 ratings</t>
  </si>
  <si>
    <t>Lower-priced gaming chair with strong rating</t>
  </si>
  <si>
    <t>Competitor</t>
  </si>
  <si>
    <t>Product Category</t>
  </si>
  <si>
    <t>Product Name</t>
  </si>
  <si>
    <t>Discount</t>
  </si>
  <si>
    <t>Shipping Information</t>
  </si>
  <si>
    <t>Rating/Reviews</t>
  </si>
  <si>
    <t>Product URL</t>
  </si>
  <si>
    <t xml:space="preserve">Link 🔗 </t>
  </si>
  <si>
    <t>BIG W</t>
  </si>
  <si>
    <t>ALFORDSON Mesh Office Chair Ergonomic Computer Seat Black &amp; Dark Grey</t>
  </si>
  <si>
    <t>$124.95</t>
  </si>
  <si>
    <t>No discount shown</t>
  </si>
  <si>
    <t>Delivery only; delivery fee applies</t>
  </si>
  <si>
    <t>Not shown</t>
  </si>
  <si>
    <t>Affordable ergonomic mesh chair</t>
  </si>
  <si>
    <t>Sihoo M57 Ergonomic Office Chair</t>
  </si>
  <si>
    <t>$329</t>
  </si>
  <si>
    <t>Save $20</t>
  </si>
  <si>
    <t>Premium ergonomic chair with 3D armrests and lumbar support</t>
  </si>
  <si>
    <t>ALFORDSON Mesh Office Chair Ergonomic Seat Black &amp; Dark Grey</t>
  </si>
  <si>
    <t>$84.85</t>
  </si>
  <si>
    <t>Save $15</t>
  </si>
  <si>
    <t>Lower-priced ergonomic option</t>
  </si>
  <si>
    <t>Interesting Observation</t>
  </si>
  <si>
    <t>Kmart</t>
  </si>
  <si>
    <t>Sky Office Chair</t>
  </si>
  <si>
    <t>$149</t>
  </si>
  <si>
    <t>Delivery fee varies by location</t>
  </si>
  <si>
    <t>No ratings/reviews shown</t>
  </si>
  <si>
    <t>Online-only office chair with adjustable height and seat depth</t>
  </si>
  <si>
    <t>Boucle Home Office Chair</t>
  </si>
  <si>
    <t>4.7/5, 12 reviews</t>
  </si>
  <si>
    <t>Stylish padded chair with gas-lift height adjustment</t>
  </si>
  <si>
    <t>Oikiture Ergonomic Office Chair - Grey</t>
  </si>
  <si>
    <t>$179.93</t>
  </si>
  <si>
    <t>Ergonomic chair with lumbar support, 3D armrests and footrest</t>
  </si>
  <si>
    <t>Temple &amp; Webster</t>
  </si>
  <si>
    <t>Naomi Mesh Office Chair by Hoxton Room</t>
  </si>
  <si>
    <t>$99.95</t>
  </si>
  <si>
    <t>15% off with code OCT15; minimum spend $149</t>
  </si>
  <si>
    <t>4.5/5, 280 ratings</t>
  </si>
  <si>
    <t>Low-priced mesh office chair with a strong rating</t>
  </si>
  <si>
    <t>Holly Boucle Office Chair</t>
  </si>
  <si>
    <t>5/5, 182 ratings</t>
  </si>
  <si>
    <t>Stylish boucle chair with excellent rating</t>
  </si>
  <si>
    <t>Ace Office Chair</t>
  </si>
  <si>
    <t>$169</t>
  </si>
  <si>
    <t>5/5, 12 ratings</t>
  </si>
  <si>
    <t>Simple office chair with a high rating</t>
  </si>
  <si>
    <t xml:space="preserve">Temple &amp; Webster     </t>
  </si>
  <si>
    <t>Bunnings</t>
  </si>
  <si>
    <t>ALFORDSON Mesh Office Chair Dark Grey</t>
  </si>
  <si>
    <t>$49.85</t>
  </si>
  <si>
    <t>Marketplace; online only</t>
  </si>
  <si>
    <t>2.9/5, 27 reviews</t>
  </si>
  <si>
    <t>Low-priced mesh office chair with lumbar support</t>
  </si>
  <si>
    <t>ALFORDSON Massage Gaming Chair Black</t>
  </si>
  <si>
    <t>$119.85</t>
  </si>
  <si>
    <t>3.5/5, 71 reviews</t>
  </si>
  <si>
    <t>Includes massage function and is available in multiple colours</t>
  </si>
  <si>
    <t>Artiss Ergonomic Mesh Office Chair With Headrest Lumbar Support Black</t>
  </si>
  <si>
    <t>$86.95</t>
  </si>
  <si>
    <t>3.6/5, 7 reviews</t>
  </si>
  <si>
    <t>Ergonomic design with headrest and lumbar support</t>
  </si>
  <si>
    <t>Category</t>
  </si>
  <si>
    <t>Approx. Selling Price</t>
  </si>
  <si>
    <t>Why Selected</t>
  </si>
  <si>
    <t>Evidence of Demand</t>
  </si>
  <si>
    <t>Competitor Examples</t>
  </si>
  <si>
    <t>Major Competitors</t>
  </si>
  <si>
    <t>Potential Selling Price</t>
  </si>
  <si>
    <t>Source Links</t>
  </si>
  <si>
    <t>Automatic Pet Feeder</t>
  </si>
  <si>
    <t>Pet Feeding &amp; Hydration</t>
  </si>
  <si>
    <t>$55–$200</t>
  </si>
  <si>
    <t>Useful for pet owners who want scheduled feeding and convenience. There are products across low, mid and premium price ranges.</t>
  </si>
  <si>
    <t>Australia Post reports $1.4 billion was spent online on pet products in Australia in 2025, up 15.2% year on year.</t>
  </si>
  <si>
    <t xml:space="preserve"> PetSafe Automatic Two Meal Feeder $54.99; Juni Automatic Pet Feeder $109–$119; Petkit Fresh Element Solo $199.99</t>
  </si>
  <si>
    <t>Petbarn; Pet Circle; Kmart</t>
  </si>
  <si>
    <t>Pet Water Fountain</t>
  </si>
  <si>
    <t>$25–$125</t>
  </si>
  <si>
    <t>Helps provide fresh moving water and is a relatively affordable product for pet owners.</t>
  </si>
  <si>
    <t>Kmart's Pet Water Fountain has a 4.7/5 rating from 60 reviews, while Pet Circle and Petbarn also sell several fountain models.</t>
  </si>
  <si>
    <t>Kmart Pet Water Fountain $25; Pet Circle Michu Cordless Pet Water Fountain $89.99; Petbarn PetSafe fountains $125+</t>
  </si>
  <si>
    <t>Kmart; Pet Circle; Petbarn</t>
  </si>
  <si>
    <t>$49.99</t>
  </si>
  <si>
    <t>Slow Feeder Bowl</t>
  </si>
  <si>
    <t>$10–$46</t>
  </si>
  <si>
    <t>Low-cost product that helps pets eat more slowly and is easy to ship. Pet retailers offer many different slow-feeder designs and price points, showing an established product category.</t>
  </si>
  <si>
    <t>Pet Circle lists dozens of slow-feeder products, including products with customer ratings; Petbarn also has 19 slow-feeder products.</t>
  </si>
  <si>
    <t>Petbarn All Day Slow Feed Bowl $18; Pet Circle Outward Hound Slow Feeder $34.99; Pet Circle Lickimat products $13.99–$34.99</t>
  </si>
  <si>
    <t>Pet Circle; Petbarn; Kmart</t>
  </si>
  <si>
    <t>$24.99</t>
  </si>
  <si>
    <t>Product Cost</t>
  </si>
  <si>
    <t>Payment/Transaction Cost (3%)</t>
  </si>
  <si>
    <t>Shipping Cost</t>
  </si>
  <si>
    <t>Marketing Cost</t>
  </si>
  <si>
    <t>Gross Profit</t>
  </si>
  <si>
    <t>Gross Profit Margin</t>
  </si>
  <si>
    <t>Profit After Listed Costs</t>
  </si>
  <si>
    <t>Net Margin</t>
  </si>
  <si>
    <t>Recommendation</t>
  </si>
  <si>
    <t>Month</t>
  </si>
  <si>
    <t>Visitors</t>
  </si>
  <si>
    <t>Orders</t>
  </si>
  <si>
    <t>Sales</t>
  </si>
  <si>
    <t>Conversion Rate</t>
  </si>
  <si>
    <t>January</t>
  </si>
  <si>
    <t>February</t>
  </si>
  <si>
    <t>March</t>
  </si>
  <si>
    <t>April</t>
  </si>
  <si>
    <t>Finding</t>
  </si>
  <si>
    <t>Website traffic increased significantly from 10,000 visitors in January to 20,000 in April.</t>
  </si>
  <si>
    <t>Orders stayed almost the same, increasing only from 200 to 210.</t>
  </si>
  <si>
    <t>Conversion rate decreased from 2% in January to 1.05% in April.</t>
  </si>
  <si>
    <t>The main problem is that traffic is increasing but visitors are not converting into orders.</t>
  </si>
  <si>
    <t>I would request product-page views, add-to-cart data, checkout abandonment, traffic source, device type, product prices and customer feedback before making a final recommendation.</t>
  </si>
  <si>
    <t>Stage</t>
  </si>
  <si>
    <t>Number</t>
  </si>
  <si>
    <t>Website Visits</t>
  </si>
  <si>
    <t>Product Page Views</t>
  </si>
  <si>
    <t>Add to Cart</t>
  </si>
  <si>
    <t>Purchases</t>
  </si>
  <si>
    <t xml:space="preserve"> </t>
  </si>
  <si>
    <t xml:space="preserve">The biggest problem is getting visitors to the product page because only 5% of website visitors view a product. </t>
  </si>
  <si>
    <t>I would investigate the website layout, product visibility, search function and traffic quality. I would also check why only 20% of people who add the product to their cart complete the purchase.</t>
  </si>
  <si>
    <t xml:space="preserve">I would consider selling this product because it still gives a profit of about $17.45 per order after the listed costs. </t>
  </si>
  <si>
    <t>However, I would first check whether the demand is strong and whether there are any other costs before making a final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</si>
</sst>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-[$$-409]* #,##0.00_ ;_-[$$-409]* \-#,##0.00\ ;_-[$$-409]* &quot;-&quot;??_ ;_-@_ "/>
    <numFmt numFmtId="173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890A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0" fontId="0" fillId="0" borderId="1" xfId="0" applyBorder="1"/>
    <xf numFmtId="0" fontId="2" fillId="4" borderId="1" xfId="0" applyFont="1" applyFill="1" applyBorder="1"/>
    <xf numFmtId="0" fontId="0" fillId="0" borderId="1" xfId="0" applyFill="1" applyBorder="1"/>
    <xf numFmtId="0" fontId="3" fillId="0" borderId="1" xfId="2" applyBorder="1"/>
    <xf numFmtId="0" fontId="0" fillId="0" borderId="0" xfId="0" applyBorder="1"/>
    <xf numFmtId="0" fontId="2" fillId="5" borderId="1" xfId="0" applyFont="1" applyFill="1" applyBorder="1"/>
    <xf numFmtId="9" fontId="0" fillId="0" borderId="1" xfId="0" applyNumberFormat="1" applyBorder="1"/>
    <xf numFmtId="10" fontId="0" fillId="0" borderId="1" xfId="1" applyNumberFormat="1" applyFont="1" applyBorder="1"/>
    <xf numFmtId="169" fontId="0" fillId="0" borderId="1" xfId="0" applyNumberFormat="1" applyBorder="1"/>
    <xf numFmtId="0" fontId="4" fillId="6" borderId="1" xfId="0" applyFont="1" applyFill="1" applyBorder="1"/>
    <xf numFmtId="0" fontId="0" fillId="0" borderId="2" xfId="0" applyBorder="1"/>
    <xf numFmtId="10" fontId="0" fillId="0" borderId="1" xfId="0" applyNumberFormat="1" applyBorder="1"/>
    <xf numFmtId="0" fontId="5" fillId="0" borderId="0" xfId="0" applyFont="1"/>
    <xf numFmtId="0" fontId="2" fillId="8" borderId="1" xfId="0" applyFont="1" applyFill="1" applyBorder="1"/>
    <xf numFmtId="0" fontId="2" fillId="2" borderId="1" xfId="0" applyFont="1" applyFill="1" applyBorder="1"/>
    <xf numFmtId="9" fontId="0" fillId="0" borderId="1" xfId="1" applyFont="1" applyBorder="1"/>
    <xf numFmtId="173" fontId="0" fillId="0" borderId="1" xfId="1" applyNumberFormat="1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0" xfId="0" applyFont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7" borderId="2" xfId="0" applyFont="1" applyFill="1" applyBorder="1"/>
    <xf numFmtId="0" fontId="2" fillId="3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890A9"/>
      <color rgb="FF66FF99"/>
      <color rgb="FFFF99FF"/>
      <color rgb="FFFF66FF"/>
      <color rgb="FF66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mart.com.au/product/boucle-home-office-chair-43228386/" TargetMode="External"/><Relationship Id="rId13" Type="http://schemas.openxmlformats.org/officeDocument/2006/relationships/hyperlink" Target="https://www.bunnings.com.au/products/indoor-living/home-office/office-chairs" TargetMode="External"/><Relationship Id="rId3" Type="http://schemas.openxmlformats.org/officeDocument/2006/relationships/hyperlink" Target="https://www.kogan.com/au/buy/gorilla-gaming-prodigy-gaming-chair-black-blue/" TargetMode="External"/><Relationship Id="rId7" Type="http://schemas.openxmlformats.org/officeDocument/2006/relationships/hyperlink" Target="https://www.kmart.com.au/product/sky-office-chair-43682737/" TargetMode="External"/><Relationship Id="rId12" Type="http://schemas.openxmlformats.org/officeDocument/2006/relationships/hyperlink" Target="https://www.templeandwebster.com.au/Office-Chairs-C1812704.html" TargetMode="External"/><Relationship Id="rId2" Type="http://schemas.openxmlformats.org/officeDocument/2006/relationships/hyperlink" Target="https://www.kogan.com/au/buy/ergolux-plus-ergonomic-mesh-office-chair-with-footrest-black-ergolux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kogan.com/au/buy/ergolux-core-ergonomic-foam-office-chair-grey-ergolux/" TargetMode="External"/><Relationship Id="rId6" Type="http://schemas.openxmlformats.org/officeDocument/2006/relationships/hyperlink" Target="https://www.bigw.com.au/home/furniture/office-furniture/home-office-chairs/c/6531102101" TargetMode="External"/><Relationship Id="rId11" Type="http://schemas.openxmlformats.org/officeDocument/2006/relationships/hyperlink" Target="https://www.templeandwebster.com.au/Office-Chairs-C1812704.html" TargetMode="External"/><Relationship Id="rId5" Type="http://schemas.openxmlformats.org/officeDocument/2006/relationships/hyperlink" Target="https://www.bigw.com.au/product/sihoo-m57-ergonomic-office-chair/p/9900545864" TargetMode="External"/><Relationship Id="rId15" Type="http://schemas.openxmlformats.org/officeDocument/2006/relationships/hyperlink" Target="https://www.bunnings.com.au/products/indoor-living/home-office/office-chairs?page=2" TargetMode="External"/><Relationship Id="rId10" Type="http://schemas.openxmlformats.org/officeDocument/2006/relationships/hyperlink" Target="https://www.templeandwebster.com.au/Office-Chairs-C1812704.html" TargetMode="External"/><Relationship Id="rId4" Type="http://schemas.openxmlformats.org/officeDocument/2006/relationships/hyperlink" Target="https://www.bigw.com.au/home/furniture/office-furniture/home-office-chairs/ergonomic-office-chairs/c/653110210104" TargetMode="External"/><Relationship Id="rId9" Type="http://schemas.openxmlformats.org/officeDocument/2006/relationships/hyperlink" Target="https://www.kmart.com.au/product/oikiture-ergonomic-office-chair-grey-110010107/" TargetMode="External"/><Relationship Id="rId14" Type="http://schemas.openxmlformats.org/officeDocument/2006/relationships/hyperlink" Target="https://www.bunnings.com.au/products/indoor-living/home-office/office-chair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mart.com.au/product/pet-water-fountain-43102938/" TargetMode="External"/><Relationship Id="rId2" Type="http://schemas.openxmlformats.org/officeDocument/2006/relationships/hyperlink" Target="https://www.petcircle.com.au/product/petsafe-automatic-two-meal-pet-feeder" TargetMode="External"/><Relationship Id="rId1" Type="http://schemas.openxmlformats.org/officeDocument/2006/relationships/hyperlink" Target="https://www.petcircle.com.au/product/petsafe-automatic-two-meal-pet-feeder" TargetMode="External"/><Relationship Id="rId4" Type="http://schemas.openxmlformats.org/officeDocument/2006/relationships/hyperlink" Target="https://www.petcircle.com.au/product/outward-hound-fun-feeder-slow-feed-dog-bowl-tea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721E-79CD-40D4-95F5-4AB780046A8C}">
  <dimension ref="A1:P10"/>
  <sheetViews>
    <sheetView workbookViewId="0">
      <selection activeCell="B15" sqref="B15"/>
    </sheetView>
  </sheetViews>
  <sheetFormatPr defaultRowHeight="15" customHeight="1" x14ac:dyDescent="0.3"/>
  <cols>
    <col min="1" max="1" width="26.33203125" bestFit="1" customWidth="1"/>
    <col min="2" max="2" width="12" customWidth="1"/>
    <col min="3" max="3" width="11" bestFit="1" customWidth="1"/>
    <col min="5" max="5" width="12.109375" bestFit="1" customWidth="1"/>
  </cols>
  <sheetData>
    <row r="1" spans="1:1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 ht="15" customHeight="1" x14ac:dyDescent="0.3">
      <c r="A2" s="2" t="s">
        <v>5</v>
      </c>
      <c r="B2" s="4">
        <v>120</v>
      </c>
      <c r="C2" s="4">
        <v>179</v>
      </c>
      <c r="D2" s="4">
        <f>C2-B2</f>
        <v>59</v>
      </c>
      <c r="E2" s="3">
        <f>D2/C2</f>
        <v>0.32960893854748602</v>
      </c>
    </row>
    <row r="3" spans="1:16" ht="15" customHeight="1" x14ac:dyDescent="0.3">
      <c r="A3" s="2" t="s">
        <v>6</v>
      </c>
      <c r="B3" s="4">
        <v>85</v>
      </c>
      <c r="C3" s="4">
        <v>129</v>
      </c>
      <c r="D3" s="4">
        <f t="shared" ref="D3:D6" si="0">C3-B3</f>
        <v>44</v>
      </c>
      <c r="E3" s="3">
        <f t="shared" ref="E3:E6" si="1">D3/C3</f>
        <v>0.34108527131782945</v>
      </c>
    </row>
    <row r="4" spans="1:16" ht="15" customHeight="1" x14ac:dyDescent="0.3">
      <c r="A4" s="2" t="s">
        <v>8</v>
      </c>
      <c r="B4" s="4">
        <v>150</v>
      </c>
      <c r="C4" s="4">
        <v>219</v>
      </c>
      <c r="D4" s="4">
        <f t="shared" si="0"/>
        <v>69</v>
      </c>
      <c r="E4" s="3">
        <f t="shared" si="1"/>
        <v>0.31506849315068491</v>
      </c>
    </row>
    <row r="5" spans="1:16" ht="15" customHeight="1" x14ac:dyDescent="0.3">
      <c r="A5" s="2" t="s">
        <v>10</v>
      </c>
      <c r="B5" s="4">
        <v>45</v>
      </c>
      <c r="C5" s="4">
        <v>69</v>
      </c>
      <c r="D5" s="4">
        <f t="shared" si="0"/>
        <v>24</v>
      </c>
      <c r="E5" s="3">
        <f t="shared" si="1"/>
        <v>0.34782608695652173</v>
      </c>
    </row>
    <row r="6" spans="1:16" ht="15" customHeight="1" x14ac:dyDescent="0.3">
      <c r="A6" s="2" t="s">
        <v>11</v>
      </c>
      <c r="B6" s="4">
        <v>60</v>
      </c>
      <c r="C6" s="4">
        <v>99</v>
      </c>
      <c r="D6" s="4">
        <f t="shared" si="0"/>
        <v>39</v>
      </c>
      <c r="E6" s="3">
        <f t="shared" si="1"/>
        <v>0.39393939393939392</v>
      </c>
    </row>
    <row r="9" spans="1:16" ht="15" customHeight="1" x14ac:dyDescent="0.3">
      <c r="A9" s="26" t="s">
        <v>12</v>
      </c>
      <c r="B9" s="5" t="s">
        <v>11</v>
      </c>
    </row>
    <row r="10" spans="1:16" ht="15" customHeight="1" x14ac:dyDescent="0.3">
      <c r="A10" s="26" t="s">
        <v>13</v>
      </c>
      <c r="B10" s="5" t="s">
        <v>14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55D2-5C8C-408A-97A5-3089422BFEC6}">
  <dimension ref="A1:J24"/>
  <sheetViews>
    <sheetView zoomScaleNormal="100" workbookViewId="0">
      <selection activeCell="E6" sqref="E6"/>
    </sheetView>
  </sheetViews>
  <sheetFormatPr defaultRowHeight="14.4" x14ac:dyDescent="0.3"/>
  <cols>
    <col min="1" max="1" width="20.21875" bestFit="1" customWidth="1"/>
    <col min="2" max="2" width="16.77734375" bestFit="1" customWidth="1"/>
    <col min="3" max="3" width="70.33203125" bestFit="1" customWidth="1"/>
    <col min="4" max="4" width="11.6640625" bestFit="1" customWidth="1"/>
    <col min="5" max="5" width="44.88671875" bestFit="1" customWidth="1"/>
    <col min="6" max="6" width="36.21875" bestFit="1" customWidth="1"/>
    <col min="7" max="7" width="25" bestFit="1" customWidth="1"/>
    <col min="8" max="8" width="11.44140625" bestFit="1" customWidth="1"/>
    <col min="9" max="9" width="60.21875" bestFit="1" customWidth="1"/>
  </cols>
  <sheetData>
    <row r="1" spans="1:10" x14ac:dyDescent="0.3">
      <c r="A1" s="6" t="s">
        <v>31</v>
      </c>
      <c r="B1" s="6" t="s">
        <v>32</v>
      </c>
      <c r="C1" s="6" t="s">
        <v>33</v>
      </c>
      <c r="D1" s="6" t="s">
        <v>2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54</v>
      </c>
    </row>
    <row r="2" spans="1:10" x14ac:dyDescent="0.3">
      <c r="A2" s="7" t="s">
        <v>15</v>
      </c>
      <c r="B2" s="5" t="s">
        <v>5</v>
      </c>
      <c r="C2" s="5" t="s">
        <v>16</v>
      </c>
      <c r="D2" s="5" t="s">
        <v>7</v>
      </c>
      <c r="E2" s="5" t="s">
        <v>17</v>
      </c>
      <c r="F2" s="5" t="s">
        <v>18</v>
      </c>
      <c r="G2" s="5" t="s">
        <v>19</v>
      </c>
      <c r="H2" s="8" t="s">
        <v>38</v>
      </c>
      <c r="I2" s="5" t="s">
        <v>20</v>
      </c>
    </row>
    <row r="3" spans="1:10" x14ac:dyDescent="0.3">
      <c r="A3" s="7" t="s">
        <v>15</v>
      </c>
      <c r="B3" s="5" t="s">
        <v>5</v>
      </c>
      <c r="C3" s="5" t="s">
        <v>21</v>
      </c>
      <c r="D3" s="5" t="s">
        <v>22</v>
      </c>
      <c r="E3" s="5" t="s">
        <v>23</v>
      </c>
      <c r="F3" s="5" t="s">
        <v>18</v>
      </c>
      <c r="G3" s="5" t="s">
        <v>24</v>
      </c>
      <c r="H3" s="8" t="s">
        <v>38</v>
      </c>
      <c r="I3" s="5" t="s">
        <v>25</v>
      </c>
    </row>
    <row r="4" spans="1:10" x14ac:dyDescent="0.3">
      <c r="A4" s="7" t="s">
        <v>15</v>
      </c>
      <c r="B4" s="5" t="s">
        <v>5</v>
      </c>
      <c r="C4" s="5" t="s">
        <v>26</v>
      </c>
      <c r="D4" s="5" t="s">
        <v>27</v>
      </c>
      <c r="E4" s="5" t="s">
        <v>28</v>
      </c>
      <c r="F4" s="5" t="s">
        <v>18</v>
      </c>
      <c r="G4" s="5" t="s">
        <v>29</v>
      </c>
      <c r="H4" s="8" t="s">
        <v>38</v>
      </c>
      <c r="I4" s="5" t="s">
        <v>30</v>
      </c>
    </row>
    <row r="6" spans="1:10" x14ac:dyDescent="0.3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x14ac:dyDescent="0.3">
      <c r="A7" s="5" t="s">
        <v>39</v>
      </c>
      <c r="B7" s="5" t="s">
        <v>5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44</v>
      </c>
      <c r="H7" s="8" t="s">
        <v>38</v>
      </c>
      <c r="I7" s="5" t="s">
        <v>45</v>
      </c>
    </row>
    <row r="8" spans="1:10" x14ac:dyDescent="0.3">
      <c r="A8" s="5" t="s">
        <v>39</v>
      </c>
      <c r="B8" s="5" t="s">
        <v>5</v>
      </c>
      <c r="C8" s="5" t="s">
        <v>46</v>
      </c>
      <c r="D8" s="5" t="s">
        <v>47</v>
      </c>
      <c r="E8" s="5" t="s">
        <v>48</v>
      </c>
      <c r="F8" s="5" t="s">
        <v>43</v>
      </c>
      <c r="G8" s="5" t="s">
        <v>44</v>
      </c>
      <c r="H8" s="8" t="s">
        <v>38</v>
      </c>
      <c r="I8" s="5" t="s">
        <v>49</v>
      </c>
    </row>
    <row r="9" spans="1:10" x14ac:dyDescent="0.3">
      <c r="A9" s="5" t="s">
        <v>39</v>
      </c>
      <c r="B9" s="5" t="s">
        <v>5</v>
      </c>
      <c r="C9" s="5" t="s">
        <v>50</v>
      </c>
      <c r="D9" s="5" t="s">
        <v>51</v>
      </c>
      <c r="E9" s="5" t="s">
        <v>52</v>
      </c>
      <c r="F9" s="5" t="s">
        <v>43</v>
      </c>
      <c r="G9" s="5" t="s">
        <v>44</v>
      </c>
      <c r="H9" s="8" t="s">
        <v>38</v>
      </c>
      <c r="I9" s="5" t="s">
        <v>53</v>
      </c>
    </row>
    <row r="12" spans="1:10" x14ac:dyDescent="0.3">
      <c r="A12" s="5" t="s">
        <v>55</v>
      </c>
      <c r="B12" s="5" t="s">
        <v>5</v>
      </c>
      <c r="C12" s="5" t="s">
        <v>56</v>
      </c>
      <c r="D12" s="5" t="s">
        <v>57</v>
      </c>
      <c r="E12" s="5" t="s">
        <v>42</v>
      </c>
      <c r="F12" s="5" t="s">
        <v>58</v>
      </c>
      <c r="G12" s="5" t="s">
        <v>59</v>
      </c>
      <c r="H12" s="8" t="s">
        <v>38</v>
      </c>
      <c r="I12" s="5" t="s">
        <v>60</v>
      </c>
    </row>
    <row r="13" spans="1:10" x14ac:dyDescent="0.3">
      <c r="A13" s="5" t="s">
        <v>55</v>
      </c>
      <c r="B13" s="5" t="s">
        <v>5</v>
      </c>
      <c r="C13" s="5" t="s">
        <v>61</v>
      </c>
      <c r="D13" s="5" t="s">
        <v>57</v>
      </c>
      <c r="E13" s="5" t="s">
        <v>42</v>
      </c>
      <c r="F13" s="5" t="s">
        <v>58</v>
      </c>
      <c r="G13" s="5" t="s">
        <v>62</v>
      </c>
      <c r="H13" s="8" t="s">
        <v>38</v>
      </c>
      <c r="I13" s="5" t="s">
        <v>63</v>
      </c>
    </row>
    <row r="14" spans="1:10" x14ac:dyDescent="0.3">
      <c r="A14" s="5" t="s">
        <v>55</v>
      </c>
      <c r="B14" s="5" t="s">
        <v>5</v>
      </c>
      <c r="C14" s="5" t="s">
        <v>64</v>
      </c>
      <c r="D14" s="5" t="s">
        <v>65</v>
      </c>
      <c r="E14" s="5" t="s">
        <v>42</v>
      </c>
      <c r="F14" s="5" t="s">
        <v>58</v>
      </c>
      <c r="G14" s="5" t="s">
        <v>59</v>
      </c>
      <c r="H14" s="8" t="s">
        <v>38</v>
      </c>
      <c r="I14" s="5" t="s">
        <v>66</v>
      </c>
    </row>
    <row r="17" spans="1:9" x14ac:dyDescent="0.3">
      <c r="A17" s="5" t="s">
        <v>80</v>
      </c>
      <c r="B17" s="5" t="s">
        <v>5</v>
      </c>
      <c r="C17" s="5" t="s">
        <v>68</v>
      </c>
      <c r="D17" s="5" t="s">
        <v>69</v>
      </c>
      <c r="E17" s="5" t="s">
        <v>70</v>
      </c>
      <c r="F17" s="5" t="s">
        <v>18</v>
      </c>
      <c r="G17" s="5" t="s">
        <v>71</v>
      </c>
      <c r="H17" s="8" t="s">
        <v>38</v>
      </c>
      <c r="I17" s="5" t="s">
        <v>72</v>
      </c>
    </row>
    <row r="18" spans="1:9" x14ac:dyDescent="0.3">
      <c r="A18" s="5" t="s">
        <v>67</v>
      </c>
      <c r="B18" s="5" t="s">
        <v>5</v>
      </c>
      <c r="C18" s="5" t="s">
        <v>73</v>
      </c>
      <c r="D18" s="5" t="s">
        <v>9</v>
      </c>
      <c r="E18" s="5" t="s">
        <v>70</v>
      </c>
      <c r="F18" s="5" t="s">
        <v>18</v>
      </c>
      <c r="G18" s="5" t="s">
        <v>74</v>
      </c>
      <c r="H18" s="8" t="s">
        <v>38</v>
      </c>
      <c r="I18" s="5" t="s">
        <v>75</v>
      </c>
    </row>
    <row r="19" spans="1:9" x14ac:dyDescent="0.3">
      <c r="A19" s="5" t="s">
        <v>67</v>
      </c>
      <c r="B19" s="5" t="s">
        <v>5</v>
      </c>
      <c r="C19" s="5" t="s">
        <v>76</v>
      </c>
      <c r="D19" s="5" t="s">
        <v>77</v>
      </c>
      <c r="E19" s="5" t="s">
        <v>70</v>
      </c>
      <c r="F19" s="5" t="s">
        <v>18</v>
      </c>
      <c r="G19" s="5" t="s">
        <v>78</v>
      </c>
      <c r="H19" s="8" t="s">
        <v>38</v>
      </c>
      <c r="I19" s="5" t="s">
        <v>79</v>
      </c>
    </row>
    <row r="22" spans="1:9" x14ac:dyDescent="0.3">
      <c r="A22" s="5" t="s">
        <v>81</v>
      </c>
      <c r="B22" s="5" t="s">
        <v>5</v>
      </c>
      <c r="C22" s="5" t="s">
        <v>82</v>
      </c>
      <c r="D22" s="5" t="s">
        <v>83</v>
      </c>
      <c r="E22" s="5" t="s">
        <v>42</v>
      </c>
      <c r="F22" s="5" t="s">
        <v>84</v>
      </c>
      <c r="G22" s="5" t="s">
        <v>85</v>
      </c>
      <c r="H22" s="8" t="s">
        <v>38</v>
      </c>
      <c r="I22" s="5" t="s">
        <v>86</v>
      </c>
    </row>
    <row r="23" spans="1:9" x14ac:dyDescent="0.3">
      <c r="A23" s="5" t="s">
        <v>81</v>
      </c>
      <c r="B23" s="5" t="s">
        <v>5</v>
      </c>
      <c r="C23" s="5" t="s">
        <v>87</v>
      </c>
      <c r="D23" s="5" t="s">
        <v>88</v>
      </c>
      <c r="E23" s="5" t="s">
        <v>42</v>
      </c>
      <c r="F23" s="5" t="s">
        <v>84</v>
      </c>
      <c r="G23" s="5" t="s">
        <v>89</v>
      </c>
      <c r="H23" s="8" t="s">
        <v>38</v>
      </c>
      <c r="I23" s="5" t="s">
        <v>90</v>
      </c>
    </row>
    <row r="24" spans="1:9" x14ac:dyDescent="0.3">
      <c r="A24" s="5" t="s">
        <v>81</v>
      </c>
      <c r="B24" s="5" t="s">
        <v>5</v>
      </c>
      <c r="C24" s="5" t="s">
        <v>91</v>
      </c>
      <c r="D24" s="5" t="s">
        <v>92</v>
      </c>
      <c r="E24" s="5" t="s">
        <v>42</v>
      </c>
      <c r="F24" s="5" t="s">
        <v>84</v>
      </c>
      <c r="G24" s="5" t="s">
        <v>93</v>
      </c>
      <c r="H24" s="8" t="s">
        <v>38</v>
      </c>
      <c r="I24" s="5" t="s">
        <v>94</v>
      </c>
    </row>
  </sheetData>
  <hyperlinks>
    <hyperlink ref="H2" r:id="rId1" xr:uid="{E708EBE3-8949-4892-B6F6-CFE7CA3866D2}"/>
    <hyperlink ref="H3" r:id="rId2" xr:uid="{294AE775-A73F-4E82-970B-9EAFF76260C9}"/>
    <hyperlink ref="H4" r:id="rId3" xr:uid="{D9A561D4-C691-4EF4-B68A-C1956DAC8C95}"/>
    <hyperlink ref="H7" r:id="rId4" xr:uid="{1AE617DC-F6E9-435F-A98D-420F0B37C573}"/>
    <hyperlink ref="H8" r:id="rId5" xr:uid="{9F825F19-43F1-40D7-9BE5-9A4029E8D6B4}"/>
    <hyperlink ref="H9" r:id="rId6" xr:uid="{3D268BC4-A8A3-4D61-92AC-9998CE9A3608}"/>
    <hyperlink ref="H12" r:id="rId7" xr:uid="{5622B8BD-A19B-4512-86FF-5E4747C04CCA}"/>
    <hyperlink ref="H13" r:id="rId8" xr:uid="{4FEB1A50-6896-452B-8CB7-025802EBF53B}"/>
    <hyperlink ref="H14" r:id="rId9" xr:uid="{A9C8212D-946A-42A3-BBA6-880618EE122D}"/>
    <hyperlink ref="H17" r:id="rId10" xr:uid="{25FC3E81-062B-4235-88BA-B819B0A0C739}"/>
    <hyperlink ref="H18" r:id="rId11" xr:uid="{E67A97B7-E750-4345-9826-8766C747FFAE}"/>
    <hyperlink ref="H19" r:id="rId12" xr:uid="{4983A0DE-37AE-4C7D-BE6E-0359AAABD6D8}"/>
    <hyperlink ref="H22" r:id="rId13" xr:uid="{5B9DAD0D-C17A-4F4C-A3DE-D322C1E40DE3}"/>
    <hyperlink ref="H23" r:id="rId14" xr:uid="{CC7937E0-70C3-4B7D-A127-E488982D31E6}"/>
    <hyperlink ref="H24" r:id="rId15" xr:uid="{5E901506-2055-4DE7-B187-2ED95256C7AE}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288B-9966-4EBB-8EA6-3D7C5635308E}">
  <dimension ref="A1:I4"/>
  <sheetViews>
    <sheetView zoomScaleNormal="100" workbookViewId="0">
      <selection activeCell="K8" sqref="K8"/>
    </sheetView>
  </sheetViews>
  <sheetFormatPr defaultRowHeight="14.4" x14ac:dyDescent="0.3"/>
  <cols>
    <col min="1" max="1" width="18.77734375" bestFit="1" customWidth="1"/>
    <col min="2" max="2" width="21.5546875" customWidth="1"/>
    <col min="3" max="3" width="18.33203125" bestFit="1" customWidth="1"/>
    <col min="4" max="4" width="152.109375" customWidth="1"/>
    <col min="5" max="5" width="107.77734375" customWidth="1"/>
    <col min="6" max="6" width="106.88671875" bestFit="1" customWidth="1"/>
    <col min="7" max="7" width="22.21875" bestFit="1" customWidth="1"/>
    <col min="8" max="8" width="19.77734375" bestFit="1" customWidth="1"/>
    <col min="9" max="9" width="14.44140625" customWidth="1"/>
  </cols>
  <sheetData>
    <row r="1" spans="1:9" x14ac:dyDescent="0.3">
      <c r="A1" s="10" t="s">
        <v>33</v>
      </c>
      <c r="B1" s="10" t="s">
        <v>95</v>
      </c>
      <c r="C1" s="10" t="s">
        <v>96</v>
      </c>
      <c r="D1" s="10" t="s">
        <v>97</v>
      </c>
      <c r="E1" s="10" t="s">
        <v>98</v>
      </c>
      <c r="F1" s="10" t="s">
        <v>99</v>
      </c>
      <c r="G1" s="10" t="s">
        <v>100</v>
      </c>
      <c r="H1" s="10" t="s">
        <v>101</v>
      </c>
      <c r="I1" s="10" t="s">
        <v>102</v>
      </c>
    </row>
    <row r="2" spans="1:9" x14ac:dyDescent="0.3">
      <c r="A2" s="5" t="s">
        <v>103</v>
      </c>
      <c r="B2" s="5" t="s">
        <v>104</v>
      </c>
      <c r="C2" s="5" t="s">
        <v>105</v>
      </c>
      <c r="D2" s="5" t="s">
        <v>106</v>
      </c>
      <c r="E2" s="5" t="s">
        <v>107</v>
      </c>
      <c r="F2" s="5" t="s">
        <v>108</v>
      </c>
      <c r="G2" s="5" t="s">
        <v>109</v>
      </c>
      <c r="H2" s="5" t="s">
        <v>27</v>
      </c>
      <c r="I2" s="8" t="s">
        <v>38</v>
      </c>
    </row>
    <row r="3" spans="1:9" x14ac:dyDescent="0.3">
      <c r="A3" s="5" t="s">
        <v>110</v>
      </c>
      <c r="B3" s="5" t="s">
        <v>104</v>
      </c>
      <c r="C3" s="5" t="s">
        <v>111</v>
      </c>
      <c r="D3" s="5" t="s">
        <v>112</v>
      </c>
      <c r="E3" s="5" t="s">
        <v>113</v>
      </c>
      <c r="F3" s="5" t="s">
        <v>114</v>
      </c>
      <c r="G3" s="5" t="s">
        <v>115</v>
      </c>
      <c r="H3" s="5" t="s">
        <v>116</v>
      </c>
      <c r="I3" s="8" t="s">
        <v>38</v>
      </c>
    </row>
    <row r="4" spans="1:9" x14ac:dyDescent="0.3">
      <c r="A4" s="5" t="s">
        <v>117</v>
      </c>
      <c r="B4" s="5" t="s">
        <v>104</v>
      </c>
      <c r="C4" s="5" t="s">
        <v>118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8" t="s">
        <v>38</v>
      </c>
    </row>
  </sheetData>
  <hyperlinks>
    <hyperlink ref="I2" r:id="rId1" xr:uid="{73D2160B-2017-4238-B059-B30245ACAE6A}"/>
    <hyperlink ref="I3:I4" r:id="rId2" display="Link 🔗 " xr:uid="{943A0301-27C8-4419-BC24-4ED64066EF5C}"/>
    <hyperlink ref="I3" r:id="rId3" xr:uid="{01B22616-004F-4D30-8CAF-DD9B357A66E4}"/>
    <hyperlink ref="I4" r:id="rId4" xr:uid="{6BBA530B-C2B8-4E89-BCFE-E211D2459A3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FFFE-BD69-49ED-876B-EB66472C914F}">
  <dimension ref="A1:Q6"/>
  <sheetViews>
    <sheetView workbookViewId="0">
      <selection activeCell="C11" sqref="C11"/>
    </sheetView>
  </sheetViews>
  <sheetFormatPr defaultRowHeight="14.4" x14ac:dyDescent="0.3"/>
  <cols>
    <col min="1" max="1" width="16" customWidth="1"/>
    <col min="2" max="2" width="12" customWidth="1"/>
    <col min="3" max="3" width="28" customWidth="1"/>
    <col min="4" max="4" width="12.21875" customWidth="1"/>
    <col min="5" max="5" width="13.44140625" bestFit="1" customWidth="1"/>
    <col min="6" max="6" width="13.21875" customWidth="1"/>
    <col min="7" max="7" width="17.33203125" customWidth="1"/>
    <col min="8" max="8" width="20.88671875" customWidth="1"/>
    <col min="9" max="9" width="10.109375" bestFit="1" customWidth="1"/>
  </cols>
  <sheetData>
    <row r="1" spans="1:17" x14ac:dyDescent="0.3">
      <c r="A1" s="14" t="s">
        <v>2</v>
      </c>
      <c r="B1" s="14" t="s">
        <v>124</v>
      </c>
      <c r="C1" s="14" t="s">
        <v>125</v>
      </c>
      <c r="D1" s="14" t="s">
        <v>126</v>
      </c>
      <c r="E1" s="14" t="s">
        <v>127</v>
      </c>
      <c r="F1" s="14" t="s">
        <v>128</v>
      </c>
      <c r="G1" s="14" t="s">
        <v>129</v>
      </c>
      <c r="H1" s="14" t="s">
        <v>130</v>
      </c>
      <c r="I1" s="14" t="s">
        <v>131</v>
      </c>
    </row>
    <row r="2" spans="1:17" x14ac:dyDescent="0.3">
      <c r="A2" s="5">
        <v>149.94999999999999</v>
      </c>
      <c r="B2" s="5">
        <v>110</v>
      </c>
      <c r="C2" s="11">
        <v>0.03</v>
      </c>
      <c r="D2" s="5">
        <v>8</v>
      </c>
      <c r="E2" s="5">
        <v>10</v>
      </c>
      <c r="F2" s="5">
        <f>A2-B2</f>
        <v>39.949999999999989</v>
      </c>
      <c r="G2" s="12">
        <f>F2/A2</f>
        <v>0.26642214071357112</v>
      </c>
      <c r="H2" s="13">
        <f>F2-(A2*C2)-D2-E2</f>
        <v>17.451499999999989</v>
      </c>
      <c r="I2" s="12">
        <f>H2/A2</f>
        <v>0.11638212737579186</v>
      </c>
    </row>
    <row r="4" spans="1:17" x14ac:dyDescent="0.3">
      <c r="A4" s="27" t="s">
        <v>132</v>
      </c>
    </row>
    <row r="5" spans="1:17" x14ac:dyDescent="0.3">
      <c r="A5" s="15" t="s">
        <v>157</v>
      </c>
      <c r="B5" s="15"/>
      <c r="C5" s="15"/>
      <c r="D5" s="15"/>
      <c r="E5" s="15"/>
      <c r="F5" s="1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3">
      <c r="A6" s="5" t="s">
        <v>158</v>
      </c>
      <c r="B6" s="5"/>
      <c r="C6" s="5"/>
      <c r="D6" s="5"/>
      <c r="E6" s="5"/>
      <c r="F6" s="5"/>
      <c r="G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6DC3-59DD-4138-AE15-9F1A617B2B8A}">
  <dimension ref="A1:P13"/>
  <sheetViews>
    <sheetView workbookViewId="0">
      <selection activeCell="F22" sqref="F22"/>
    </sheetView>
  </sheetViews>
  <sheetFormatPr defaultRowHeight="14.4" x14ac:dyDescent="0.3"/>
  <cols>
    <col min="5" max="5" width="17.33203125" customWidth="1"/>
    <col min="7" max="7" width="9.33203125" customWidth="1"/>
    <col min="16" max="16" width="11.109375" customWidth="1"/>
  </cols>
  <sheetData>
    <row r="1" spans="1:16" x14ac:dyDescent="0.3">
      <c r="A1" s="18" t="s">
        <v>133</v>
      </c>
      <c r="B1" s="18" t="s">
        <v>134</v>
      </c>
      <c r="C1" s="18" t="s">
        <v>135</v>
      </c>
      <c r="D1" s="18" t="s">
        <v>136</v>
      </c>
      <c r="E1" s="18" t="s">
        <v>137</v>
      </c>
    </row>
    <row r="2" spans="1:16" x14ac:dyDescent="0.3">
      <c r="A2" s="5" t="s">
        <v>138</v>
      </c>
      <c r="B2" s="5">
        <v>10000</v>
      </c>
      <c r="C2" s="5">
        <v>200</v>
      </c>
      <c r="D2" s="5">
        <v>30000</v>
      </c>
      <c r="E2" s="11">
        <v>0.02</v>
      </c>
    </row>
    <row r="3" spans="1:16" x14ac:dyDescent="0.3">
      <c r="A3" s="5" t="s">
        <v>139</v>
      </c>
      <c r="B3" s="5">
        <v>12000</v>
      </c>
      <c r="C3" s="5">
        <v>210</v>
      </c>
      <c r="D3" s="5">
        <v>31500</v>
      </c>
      <c r="E3" s="16">
        <v>1.7500000000000002E-2</v>
      </c>
    </row>
    <row r="4" spans="1:16" x14ac:dyDescent="0.3">
      <c r="A4" s="5" t="s">
        <v>140</v>
      </c>
      <c r="B4" s="5">
        <v>15000</v>
      </c>
      <c r="C4" s="5">
        <v>205</v>
      </c>
      <c r="D4" s="5">
        <v>30750</v>
      </c>
      <c r="E4" s="16">
        <v>1.37E-2</v>
      </c>
    </row>
    <row r="5" spans="1:16" x14ac:dyDescent="0.3">
      <c r="A5" s="5" t="s">
        <v>141</v>
      </c>
      <c r="B5" s="5">
        <v>20000</v>
      </c>
      <c r="C5" s="5">
        <v>210</v>
      </c>
      <c r="D5" s="5">
        <v>31500</v>
      </c>
      <c r="E5" s="16">
        <v>1.0500000000000001E-2</v>
      </c>
    </row>
    <row r="8" spans="1:16" x14ac:dyDescent="0.3">
      <c r="A8" s="28" t="s">
        <v>142</v>
      </c>
    </row>
    <row r="9" spans="1:16" x14ac:dyDescent="0.3">
      <c r="A9" s="22" t="s">
        <v>143</v>
      </c>
      <c r="B9" s="22"/>
      <c r="C9" s="22"/>
      <c r="D9" s="22"/>
      <c r="E9" s="22"/>
      <c r="F9" s="22"/>
      <c r="G9" s="22"/>
      <c r="H9" s="24"/>
      <c r="I9" s="17"/>
      <c r="J9" s="17"/>
      <c r="K9" s="17"/>
      <c r="L9" s="17"/>
      <c r="M9" s="17"/>
      <c r="N9" s="17"/>
      <c r="O9" s="17"/>
      <c r="P9" s="17"/>
    </row>
    <row r="10" spans="1:16" x14ac:dyDescent="0.3">
      <c r="A10" s="22" t="s">
        <v>144</v>
      </c>
      <c r="B10" s="22"/>
      <c r="C10" s="22"/>
      <c r="D10" s="22"/>
      <c r="E10" s="22"/>
      <c r="F10" s="24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x14ac:dyDescent="0.3">
      <c r="A11" s="23" t="s">
        <v>145</v>
      </c>
      <c r="B11" s="23"/>
      <c r="C11" s="23"/>
      <c r="D11" s="23"/>
      <c r="E11" s="22"/>
      <c r="F11" s="24"/>
      <c r="G11" s="24"/>
      <c r="H11" s="24"/>
      <c r="I11" s="17"/>
      <c r="J11" s="17"/>
      <c r="K11" s="17"/>
      <c r="L11" s="17"/>
      <c r="M11" s="17"/>
      <c r="N11" s="17"/>
      <c r="O11" s="17"/>
      <c r="P11" s="17"/>
    </row>
    <row r="12" spans="1:16" x14ac:dyDescent="0.3">
      <c r="A12" s="23" t="s">
        <v>146</v>
      </c>
      <c r="B12" s="23"/>
      <c r="C12" s="23"/>
      <c r="D12" s="23"/>
      <c r="E12" s="23"/>
      <c r="F12" s="22"/>
      <c r="G12" s="22"/>
      <c r="H12" s="24"/>
      <c r="I12" s="17"/>
      <c r="J12" s="17"/>
      <c r="K12" s="17"/>
      <c r="L12" s="17"/>
      <c r="M12" s="17"/>
      <c r="N12" s="17"/>
      <c r="O12" s="17"/>
      <c r="P12" s="17"/>
    </row>
    <row r="13" spans="1:16" x14ac:dyDescent="0.3">
      <c r="A13" s="22" t="s">
        <v>147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C76F-550D-4A38-B453-ABBE0228057B}">
  <dimension ref="A1:P9"/>
  <sheetViews>
    <sheetView tabSelected="1" workbookViewId="0">
      <selection activeCell="K20" sqref="K20"/>
    </sheetView>
  </sheetViews>
  <sheetFormatPr defaultRowHeight="14.4" x14ac:dyDescent="0.3"/>
  <cols>
    <col min="1" max="1" width="17" bestFit="1" customWidth="1"/>
    <col min="3" max="3" width="14.44140625" bestFit="1" customWidth="1"/>
    <col min="16" max="16" width="9.33203125" customWidth="1"/>
  </cols>
  <sheetData>
    <row r="1" spans="1:16" x14ac:dyDescent="0.3">
      <c r="A1" s="19" t="s">
        <v>148</v>
      </c>
      <c r="B1" s="19" t="s">
        <v>149</v>
      </c>
      <c r="C1" s="19" t="s">
        <v>137</v>
      </c>
    </row>
    <row r="2" spans="1:16" x14ac:dyDescent="0.3">
      <c r="A2" s="5" t="s">
        <v>150</v>
      </c>
      <c r="B2" s="5">
        <v>10000</v>
      </c>
      <c r="C2" s="12">
        <f>B3/B2</f>
        <v>0.05</v>
      </c>
    </row>
    <row r="3" spans="1:16" x14ac:dyDescent="0.3">
      <c r="A3" s="5" t="s">
        <v>151</v>
      </c>
      <c r="B3" s="5">
        <v>500</v>
      </c>
      <c r="C3" s="20">
        <f>B4/B3</f>
        <v>0.2</v>
      </c>
    </row>
    <row r="4" spans="1:16" x14ac:dyDescent="0.3">
      <c r="A4" s="5" t="s">
        <v>152</v>
      </c>
      <c r="B4" s="5">
        <v>100</v>
      </c>
      <c r="C4" s="20">
        <f>B5/B4</f>
        <v>0.2</v>
      </c>
    </row>
    <row r="5" spans="1:16" x14ac:dyDescent="0.3">
      <c r="A5" s="5" t="s">
        <v>153</v>
      </c>
      <c r="B5" s="5">
        <v>20</v>
      </c>
      <c r="C5" s="21">
        <f>B5/B2</f>
        <v>2E-3</v>
      </c>
    </row>
    <row r="6" spans="1:16" x14ac:dyDescent="0.3">
      <c r="F6" t="s">
        <v>154</v>
      </c>
    </row>
    <row r="7" spans="1:16" x14ac:dyDescent="0.3">
      <c r="A7" s="25" t="s">
        <v>142</v>
      </c>
    </row>
    <row r="8" spans="1:16" x14ac:dyDescent="0.3">
      <c r="A8" s="15" t="s">
        <v>155</v>
      </c>
      <c r="B8" s="15"/>
      <c r="C8" s="15"/>
      <c r="D8" s="15"/>
      <c r="E8" s="15"/>
      <c r="F8" s="15"/>
      <c r="G8" s="15"/>
      <c r="H8" s="15"/>
      <c r="I8" s="15"/>
    </row>
    <row r="9" spans="1:16" x14ac:dyDescent="0.3">
      <c r="A9" s="5" t="s">
        <v>156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Q1_Profit</vt:lpstr>
      <vt:lpstr>Q4_Competitors</vt:lpstr>
      <vt:lpstr>Q5_Product_Opportunity</vt:lpstr>
      <vt:lpstr>Q6_Profitability</vt:lpstr>
      <vt:lpstr>Q8_Sales_Analysis</vt:lpstr>
      <vt:lpstr>Q9_Conversion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C N</dc:creator>
  <cp:lastModifiedBy>Shreyas C N</cp:lastModifiedBy>
  <dcterms:created xsi:type="dcterms:W3CDTF">2026-10-08T10:12:44Z</dcterms:created>
  <dcterms:modified xsi:type="dcterms:W3CDTF">2026-10-08T14:40:45Z</dcterms:modified>
</cp:coreProperties>
</file>